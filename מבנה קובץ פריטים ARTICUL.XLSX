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Version B" sheetId="1" r:id="rId1"/>
    <sheet name="VERSION E"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2" l="1"/>
  <c r="C18" i="2"/>
  <c r="C19" i="2"/>
  <c r="D19" i="2" s="1"/>
  <c r="C20" i="2" s="1"/>
  <c r="D20" i="2" s="1"/>
  <c r="C4" i="2"/>
  <c r="D4" i="2" s="1"/>
  <c r="C5" i="2" s="1"/>
  <c r="D5" i="2" s="1"/>
  <c r="C6" i="2" s="1"/>
  <c r="D6" i="2" s="1"/>
  <c r="C7" i="2" s="1"/>
  <c r="D7" i="2" s="1"/>
  <c r="C8" i="2" s="1"/>
  <c r="D8" i="2" s="1"/>
  <c r="C9" i="2" s="1"/>
  <c r="D9" i="2" s="1"/>
  <c r="C10" i="2" s="1"/>
  <c r="D10" i="2" s="1"/>
  <c r="C11" i="2" s="1"/>
  <c r="D11" i="2" s="1"/>
  <c r="C12" i="2" s="1"/>
  <c r="D12" i="2" s="1"/>
  <c r="C13" i="2" s="1"/>
  <c r="D13" i="2" s="1"/>
  <c r="C14" i="2" s="1"/>
  <c r="D14" i="2" s="1"/>
  <c r="C15" i="2" s="1"/>
  <c r="D15" i="2" s="1"/>
  <c r="C16" i="2" s="1"/>
  <c r="D16" i="2" s="1"/>
  <c r="C17" i="2" s="1"/>
  <c r="D17" i="2" s="1"/>
  <c r="D3" i="2"/>
  <c r="C3" i="2"/>
  <c r="D2" i="2"/>
  <c r="G17" i="2"/>
  <c r="B17" i="2"/>
  <c r="G16" i="2"/>
  <c r="B16" i="2"/>
  <c r="G15" i="2"/>
  <c r="B15" i="2"/>
  <c r="G14" i="2"/>
  <c r="B14" i="2"/>
  <c r="A14" i="2"/>
  <c r="G13" i="2"/>
  <c r="B13" i="2"/>
  <c r="A13" i="2"/>
  <c r="G12" i="2"/>
  <c r="B12" i="2"/>
  <c r="A12" i="2"/>
  <c r="G11" i="2"/>
  <c r="B11" i="2"/>
  <c r="A11" i="2"/>
  <c r="G10" i="2"/>
  <c r="B10" i="2"/>
  <c r="A10" i="2"/>
  <c r="G9" i="2"/>
  <c r="B9" i="2"/>
  <c r="A9" i="2"/>
  <c r="G8" i="2"/>
  <c r="B8" i="2"/>
  <c r="A8" i="2"/>
  <c r="G7" i="2"/>
  <c r="B7" i="2"/>
  <c r="A7" i="2"/>
  <c r="G6" i="2"/>
  <c r="B6" i="2"/>
  <c r="A6" i="2"/>
  <c r="G5" i="2"/>
  <c r="B5" i="2"/>
  <c r="A5" i="2"/>
  <c r="G4" i="2"/>
  <c r="B4" i="2"/>
  <c r="A4" i="2"/>
  <c r="G2" i="2"/>
  <c r="B2" i="2"/>
  <c r="A2" i="2"/>
  <c r="G1" i="2"/>
  <c r="F1" i="2"/>
  <c r="B1" i="2"/>
  <c r="A1" i="2"/>
  <c r="A1" i="1"/>
  <c r="B1" i="1"/>
  <c r="F1" i="1"/>
  <c r="G1" i="1"/>
  <c r="A2" i="1"/>
  <c r="B2" i="1"/>
  <c r="G2" i="1"/>
  <c r="A3" i="1"/>
  <c r="B3" i="1"/>
  <c r="G3" i="1"/>
  <c r="A4" i="1"/>
  <c r="B4" i="1"/>
  <c r="G4" i="1"/>
  <c r="A5" i="1"/>
  <c r="B5" i="1"/>
  <c r="G5" i="1"/>
  <c r="A6" i="1"/>
  <c r="B6" i="1"/>
  <c r="G6" i="1"/>
  <c r="A7" i="1"/>
  <c r="B7" i="1"/>
  <c r="G7" i="1"/>
  <c r="A8" i="1"/>
  <c r="B8" i="1"/>
  <c r="G8" i="1"/>
  <c r="A9" i="1"/>
  <c r="B9" i="1"/>
  <c r="G9" i="1"/>
  <c r="A10" i="1"/>
  <c r="B10" i="1"/>
  <c r="G10" i="1"/>
  <c r="A11" i="1"/>
  <c r="B11" i="1"/>
  <c r="G11" i="1"/>
  <c r="A12" i="1"/>
  <c r="B12" i="1"/>
  <c r="G12" i="1"/>
  <c r="A13" i="1"/>
  <c r="B13" i="1"/>
  <c r="G13" i="1"/>
  <c r="A14" i="1"/>
  <c r="B14" i="1"/>
  <c r="G14" i="1"/>
  <c r="A15" i="1"/>
  <c r="B15" i="1"/>
  <c r="G15" i="1"/>
  <c r="A16" i="1"/>
  <c r="B16" i="1"/>
  <c r="G16" i="1"/>
</calcChain>
</file>

<file path=xl/sharedStrings.xml><?xml version="1.0" encoding="utf-8"?>
<sst xmlns="http://schemas.openxmlformats.org/spreadsheetml/2006/main" count="102" uniqueCount="77">
  <si>
    <t>תו ראשון</t>
  </si>
  <si>
    <t>תו אחרון</t>
  </si>
  <si>
    <t>רוחב</t>
  </si>
  <si>
    <t>דוגמא</t>
  </si>
  <si>
    <t>B</t>
  </si>
  <si>
    <t>I</t>
  </si>
  <si>
    <t>0049</t>
  </si>
  <si>
    <t>105</t>
  </si>
  <si>
    <t>000</t>
  </si>
  <si>
    <t>00</t>
  </si>
  <si>
    <t>00000007990</t>
  </si>
  <si>
    <t>00000005990</t>
  </si>
  <si>
    <t>26</t>
  </si>
  <si>
    <t>417</t>
  </si>
  <si>
    <t>S</t>
  </si>
  <si>
    <t>1</t>
  </si>
  <si>
    <t>0000</t>
  </si>
  <si>
    <t>I = Winter, V = Summer</t>
  </si>
  <si>
    <t>T = Regular Season, S = Sales</t>
  </si>
  <si>
    <t>1 = Women, 2 = Men, 3 = Children</t>
  </si>
  <si>
    <t>0 = Clothes, 1 = Shoes, 2 = Perfumes, 4 = Home</t>
  </si>
  <si>
    <t>current file version: 'B'</t>
  </si>
  <si>
    <t>file type: ASCII file</t>
  </si>
  <si>
    <t>file structure:  one record per article,  all the  records  with  fixed length  and ended with  CR/LF,  all the numeric fields right justified and filled with zeros by  the left</t>
  </si>
  <si>
    <t>records structure:</t>
  </si>
  <si>
    <t>position</t>
  </si>
  <si>
    <t>size</t>
  </si>
  <si>
    <t>description</t>
  </si>
  <si>
    <r>
      <t xml:space="preserve">file version </t>
    </r>
    <r>
      <rPr>
        <sz val="6"/>
        <color theme="1"/>
        <rFont val="Times New Roman"/>
        <family val="1"/>
      </rPr>
      <t>(‘</t>
    </r>
    <r>
      <rPr>
        <sz val="6"/>
        <color theme="1"/>
        <rFont val="Courier New"/>
        <family val="3"/>
      </rPr>
      <t>B</t>
    </r>
    <r>
      <rPr>
        <sz val="6"/>
        <color theme="1"/>
        <rFont val="Times New Roman"/>
        <family val="1"/>
      </rPr>
      <t>’)</t>
    </r>
  </si>
  <si>
    <t>campaign year</t>
  </si>
  <si>
    <r>
      <t xml:space="preserve">campaign </t>
    </r>
    <r>
      <rPr>
        <sz val="6"/>
        <color theme="1"/>
        <rFont val="Times New Roman"/>
        <family val="1"/>
      </rPr>
      <t>(‘</t>
    </r>
    <r>
      <rPr>
        <sz val="6"/>
        <color theme="1"/>
        <rFont val="Courier New"/>
        <family val="3"/>
      </rPr>
      <t>I</t>
    </r>
    <r>
      <rPr>
        <sz val="6"/>
        <color theme="1"/>
        <rFont val="Times New Roman"/>
        <family val="1"/>
      </rPr>
      <t>’=winter, ‘</t>
    </r>
    <r>
      <rPr>
        <sz val="6"/>
        <color theme="1"/>
        <rFont val="Courier New"/>
        <family val="3"/>
      </rPr>
      <t>V</t>
    </r>
    <r>
      <rPr>
        <sz val="6"/>
        <color theme="1"/>
        <rFont val="Times New Roman"/>
        <family val="1"/>
      </rPr>
      <t>’=summer)</t>
    </r>
  </si>
  <si>
    <r>
      <t xml:space="preserve">product type </t>
    </r>
    <r>
      <rPr>
        <sz val="6"/>
        <color theme="1"/>
        <rFont val="Times New Roman"/>
        <family val="1"/>
      </rPr>
      <t>(‘</t>
    </r>
    <r>
      <rPr>
        <sz val="6"/>
        <color theme="1"/>
        <rFont val="Courier New"/>
        <family val="3"/>
      </rPr>
      <t>0</t>
    </r>
    <r>
      <rPr>
        <sz val="6"/>
        <color theme="1"/>
        <rFont val="Times New Roman"/>
        <family val="1"/>
      </rPr>
      <t>’=clothes, ‘</t>
    </r>
    <r>
      <rPr>
        <sz val="6"/>
        <color theme="1"/>
        <rFont val="Courier New"/>
        <family val="3"/>
      </rPr>
      <t>1</t>
    </r>
    <r>
      <rPr>
        <sz val="6"/>
        <color theme="1"/>
        <rFont val="Times New Roman"/>
        <family val="1"/>
      </rPr>
      <t>’=shoes, ‘</t>
    </r>
    <r>
      <rPr>
        <sz val="6"/>
        <color theme="1"/>
        <rFont val="Courier New"/>
        <family val="3"/>
      </rPr>
      <t>2</t>
    </r>
    <r>
      <rPr>
        <sz val="6"/>
        <color theme="1"/>
        <rFont val="Times New Roman"/>
        <family val="1"/>
      </rPr>
      <t>’=perfumes, ‘</t>
    </r>
    <r>
      <rPr>
        <sz val="6"/>
        <color theme="1"/>
        <rFont val="Courier New"/>
        <family val="3"/>
      </rPr>
      <t>3</t>
    </r>
    <r>
      <rPr>
        <sz val="6"/>
        <color theme="1"/>
        <rFont val="Times New Roman"/>
        <family val="1"/>
      </rPr>
      <t>’=lingerie)</t>
    </r>
  </si>
  <si>
    <t>model</t>
  </si>
  <si>
    <t>quality</t>
  </si>
  <si>
    <t>color</t>
  </si>
  <si>
    <t>season price</t>
  </si>
  <si>
    <t>sales price</t>
  </si>
  <si>
    <t>family code</t>
  </si>
  <si>
    <t>subfamily code</t>
  </si>
  <si>
    <r>
      <t xml:space="preserve">period </t>
    </r>
    <r>
      <rPr>
        <sz val="6"/>
        <color theme="1"/>
        <rFont val="Times New Roman"/>
        <family val="1"/>
      </rPr>
      <t>(‘</t>
    </r>
    <r>
      <rPr>
        <sz val="6"/>
        <color theme="1"/>
        <rFont val="Courier New"/>
        <family val="3"/>
      </rPr>
      <t>T</t>
    </r>
    <r>
      <rPr>
        <sz val="6"/>
        <color theme="1"/>
        <rFont val="Times New Roman"/>
        <family val="1"/>
      </rPr>
      <t>’=season, ‘</t>
    </r>
    <r>
      <rPr>
        <sz val="6"/>
        <color theme="1"/>
        <rFont val="Courier New"/>
        <family val="3"/>
      </rPr>
      <t>S</t>
    </r>
    <r>
      <rPr>
        <sz val="6"/>
        <color theme="1"/>
        <rFont val="Times New Roman"/>
        <family val="1"/>
      </rPr>
      <t>’=sales)</t>
    </r>
  </si>
  <si>
    <r>
      <t xml:space="preserve">department </t>
    </r>
    <r>
      <rPr>
        <sz val="6"/>
        <color theme="1"/>
        <rFont val="Times New Roman"/>
        <family val="1"/>
      </rPr>
      <t>('</t>
    </r>
    <r>
      <rPr>
        <sz val="6"/>
        <color theme="1"/>
        <rFont val="Courier New"/>
        <family val="3"/>
      </rPr>
      <t>1</t>
    </r>
    <r>
      <rPr>
        <sz val="6"/>
        <color theme="1"/>
        <rFont val="Times New Roman"/>
        <family val="1"/>
      </rPr>
      <t>'=woman, '</t>
    </r>
    <r>
      <rPr>
        <sz val="6"/>
        <color theme="1"/>
        <rFont val="Courier New"/>
        <family val="3"/>
      </rPr>
      <t>2</t>
    </r>
    <r>
      <rPr>
        <sz val="6"/>
        <color theme="1"/>
        <rFont val="Times New Roman"/>
        <family val="1"/>
      </rPr>
      <t>'=man, '</t>
    </r>
    <r>
      <rPr>
        <sz val="6"/>
        <color theme="1"/>
        <rFont val="Courier New"/>
        <family val="3"/>
      </rPr>
      <t>3</t>
    </r>
    <r>
      <rPr>
        <sz val="6"/>
        <color theme="1"/>
        <rFont val="Times New Roman"/>
        <family val="1"/>
      </rPr>
      <t>'=child)</t>
    </r>
  </si>
  <si>
    <t>sorting number</t>
  </si>
  <si>
    <t>REMARKS</t>
  </si>
  <si>
    <r>
      <t>1.   An  '</t>
    </r>
    <r>
      <rPr>
        <sz val="8"/>
        <color theme="1"/>
        <rFont val="Courier New"/>
        <family val="3"/>
      </rPr>
      <t>A</t>
    </r>
    <r>
      <rPr>
        <sz val="8"/>
        <color theme="1"/>
        <rFont val="Times New Roman"/>
        <family val="1"/>
      </rPr>
      <t>'  in  position  6  (</t>
    </r>
    <r>
      <rPr>
        <sz val="8"/>
        <color theme="1"/>
        <rFont val="Courier New"/>
        <family val="3"/>
      </rPr>
      <t>campaign</t>
    </r>
    <r>
      <rPr>
        <sz val="8"/>
        <color theme="1"/>
        <rFont val="Times New Roman"/>
        <family val="1"/>
      </rPr>
      <t>)  and/or  in  position  47  (</t>
    </r>
    <r>
      <rPr>
        <sz val="8"/>
        <color theme="1"/>
        <rFont val="Courier New"/>
        <family val="3"/>
      </rPr>
      <t>period</t>
    </r>
    <r>
      <rPr>
        <sz val="8"/>
        <color theme="1"/>
        <rFont val="Times New Roman"/>
        <family val="1"/>
      </rPr>
      <t>)  in  the  first  line  of   the file indicates  a complete  master file. If not,  it’s  a partial  file containing  only the changes since  the last article master file generation. You will usually receive a complete master file.</t>
    </r>
  </si>
  <si>
    <r>
      <t xml:space="preserve">2.    The prices  are set as two-decimal numbers, that is, the last two digits of the </t>
    </r>
    <r>
      <rPr>
        <sz val="8"/>
        <color theme="1"/>
        <rFont val="Courier New"/>
        <family val="3"/>
      </rPr>
      <t xml:space="preserve">season price </t>
    </r>
    <r>
      <rPr>
        <sz val="8"/>
        <color theme="1"/>
        <rFont val="Times New Roman"/>
        <family val="1"/>
      </rPr>
      <t xml:space="preserve">and </t>
    </r>
    <r>
      <rPr>
        <sz val="8"/>
        <color theme="1"/>
        <rFont val="Courier New"/>
        <family val="3"/>
      </rPr>
      <t xml:space="preserve">sales price </t>
    </r>
    <r>
      <rPr>
        <sz val="8"/>
        <color theme="1"/>
        <rFont val="Times New Roman"/>
        <family val="1"/>
      </rPr>
      <t>fields  contain  the decimal  positions  of  the price.  If the price  is  rounded or if the currency does not allow fractions, these two positions are zeroes.</t>
    </r>
  </si>
  <si>
    <r>
      <t xml:space="preserve">3.    The </t>
    </r>
    <r>
      <rPr>
        <sz val="8"/>
        <color theme="1"/>
        <rFont val="Courier New"/>
        <family val="3"/>
      </rPr>
      <t xml:space="preserve">period </t>
    </r>
    <r>
      <rPr>
        <sz val="8"/>
        <color theme="1"/>
        <rFont val="Times New Roman"/>
        <family val="1"/>
      </rPr>
      <t>field shows which price  field (</t>
    </r>
    <r>
      <rPr>
        <sz val="8"/>
        <color theme="1"/>
        <rFont val="Courier New"/>
        <family val="3"/>
      </rPr>
      <t xml:space="preserve">season price </t>
    </r>
    <r>
      <rPr>
        <sz val="8"/>
        <color theme="1"/>
        <rFont val="Times New Roman"/>
        <family val="1"/>
      </rPr>
      <t xml:space="preserve">or </t>
    </r>
    <r>
      <rPr>
        <sz val="8"/>
        <color theme="1"/>
        <rFont val="Courier New"/>
        <family val="3"/>
      </rPr>
      <t>sales price</t>
    </r>
    <r>
      <rPr>
        <sz val="8"/>
        <color theme="1"/>
        <rFont val="Times New Roman"/>
        <family val="1"/>
      </rPr>
      <t xml:space="preserve">)  contains  the current price  for the given  item.  As the  sales  period  approaches, the Commercial  Department begins  to fill  the </t>
    </r>
    <r>
      <rPr>
        <sz val="8"/>
        <color theme="1"/>
        <rFont val="Courier New"/>
        <family val="3"/>
      </rPr>
      <t xml:space="preserve">sales price </t>
    </r>
    <r>
      <rPr>
        <sz val="8"/>
        <color theme="1"/>
        <rFont val="Times New Roman"/>
        <family val="1"/>
      </rPr>
      <t xml:space="preserve">field for each  different  article,  so a few dates before the starting  of  the sales period this field already contains the sales price for all the articles. The day before the first sales day the articles master file is generated with the </t>
    </r>
    <r>
      <rPr>
        <sz val="8"/>
        <color theme="1"/>
        <rFont val="Courier New"/>
        <family val="3"/>
      </rPr>
      <t xml:space="preserve">period </t>
    </r>
    <r>
      <rPr>
        <sz val="8"/>
        <color theme="1"/>
        <rFont val="Times New Roman"/>
        <family val="1"/>
      </rPr>
      <t>field changed from ‘</t>
    </r>
    <r>
      <rPr>
        <sz val="8"/>
        <color theme="1"/>
        <rFont val="Courier New"/>
        <family val="3"/>
      </rPr>
      <t>T</t>
    </r>
    <r>
      <rPr>
        <sz val="8"/>
        <color theme="1"/>
        <rFont val="Times New Roman"/>
        <family val="1"/>
      </rPr>
      <t>’ (season) to</t>
    </r>
  </si>
  <si>
    <r>
      <t>‘</t>
    </r>
    <r>
      <rPr>
        <sz val="8"/>
        <color theme="1"/>
        <rFont val="Courier New"/>
        <family val="3"/>
      </rPr>
      <t>S</t>
    </r>
    <r>
      <rPr>
        <sz val="8"/>
        <color theme="1"/>
        <rFont val="Times New Roman"/>
        <family val="1"/>
      </rPr>
      <t xml:space="preserve">’ (sales). If there is  any problem with the communication of  this  master file, the season prices can be changed into the sales prices with no more than changing the POS  database </t>
    </r>
    <r>
      <rPr>
        <sz val="8"/>
        <color theme="1"/>
        <rFont val="Courier New"/>
        <family val="3"/>
      </rPr>
      <t xml:space="preserve">period </t>
    </r>
    <r>
      <rPr>
        <sz val="8"/>
        <color theme="1"/>
        <rFont val="Times New Roman"/>
        <family val="1"/>
      </rPr>
      <t>field from ‘</t>
    </r>
    <r>
      <rPr>
        <sz val="8"/>
        <color theme="1"/>
        <rFont val="Courier New"/>
        <family val="3"/>
      </rPr>
      <t>T</t>
    </r>
    <r>
      <rPr>
        <sz val="8"/>
        <color theme="1"/>
        <rFont val="Times New Roman"/>
        <family val="1"/>
      </rPr>
      <t>’ to ‘</t>
    </r>
    <r>
      <rPr>
        <sz val="8"/>
        <color theme="1"/>
        <rFont val="Courier New"/>
        <family val="3"/>
      </rPr>
      <t>S</t>
    </r>
    <r>
      <rPr>
        <sz val="8"/>
        <color theme="1"/>
        <rFont val="Times New Roman"/>
        <family val="1"/>
      </rPr>
      <t>’.</t>
    </r>
  </si>
  <si>
    <r>
      <t xml:space="preserve">4.   Actually,  the </t>
    </r>
    <r>
      <rPr>
        <sz val="8"/>
        <color theme="1"/>
        <rFont val="Courier New"/>
        <family val="3"/>
      </rPr>
      <t xml:space="preserve">model/quality/color/size </t>
    </r>
    <r>
      <rPr>
        <sz val="8"/>
        <color theme="1"/>
        <rFont val="Times New Roman"/>
        <family val="1"/>
      </rPr>
      <t xml:space="preserve">fields  in the  currently  generated articles  master file just contains  the </t>
    </r>
    <r>
      <rPr>
        <sz val="8"/>
        <color theme="1"/>
        <rFont val="Courier New"/>
        <family val="3"/>
      </rPr>
      <t xml:space="preserve">model/quality </t>
    </r>
    <r>
      <rPr>
        <sz val="8"/>
        <color theme="1"/>
        <rFont val="Times New Roman"/>
        <family val="1"/>
      </rPr>
      <t xml:space="preserve">specification,  being  the </t>
    </r>
    <r>
      <rPr>
        <sz val="8"/>
        <color theme="1"/>
        <rFont val="Courier New"/>
        <family val="3"/>
      </rPr>
      <t xml:space="preserve">color/size </t>
    </r>
    <r>
      <rPr>
        <sz val="8"/>
        <color theme="1"/>
        <rFont val="Times New Roman"/>
        <family val="1"/>
      </rPr>
      <t xml:space="preserve">part zeroes. This means that  all the  items  of  the same </t>
    </r>
    <r>
      <rPr>
        <sz val="8"/>
        <color theme="1"/>
        <rFont val="Courier New"/>
        <family val="3"/>
      </rPr>
      <t xml:space="preserve">model/quality </t>
    </r>
    <r>
      <rPr>
        <sz val="8"/>
        <color theme="1"/>
        <rFont val="Times New Roman"/>
        <family val="1"/>
      </rPr>
      <t>have the same price.  In the  future this  can</t>
    </r>
  </si>
  <si>
    <t>change.   To    ensure   the   correctness   of    a   price,    the   search   algorithm    for   a   given model/quality/color/size must be the following:</t>
  </si>
  <si>
    <r>
      <t xml:space="preserve">a. </t>
    </r>
    <r>
      <rPr>
        <sz val="8"/>
        <color theme="1"/>
        <rFont val="Times New Roman"/>
        <family val="1"/>
      </rPr>
      <t xml:space="preserve">Search  for the specific </t>
    </r>
    <r>
      <rPr>
        <sz val="8"/>
        <color theme="1"/>
        <rFont val="Courier New"/>
        <family val="3"/>
      </rPr>
      <t>model/quality/color/size</t>
    </r>
  </si>
  <si>
    <r>
      <t xml:space="preserve">b. </t>
    </r>
    <r>
      <rPr>
        <sz val="8"/>
        <color theme="1"/>
        <rFont val="Times New Roman"/>
        <family val="1"/>
      </rPr>
      <t xml:space="preserve">If not found, search for the </t>
    </r>
    <r>
      <rPr>
        <sz val="8"/>
        <color theme="1"/>
        <rFont val="Courier New"/>
        <family val="3"/>
      </rPr>
      <t xml:space="preserve">model/quality/000/size c. </t>
    </r>
    <r>
      <rPr>
        <sz val="8"/>
        <color theme="1"/>
        <rFont val="Times New Roman"/>
        <family val="1"/>
      </rPr>
      <t xml:space="preserve">If not found, search for the </t>
    </r>
    <r>
      <rPr>
        <sz val="8"/>
        <color theme="1"/>
        <rFont val="Courier New"/>
        <family val="3"/>
      </rPr>
      <t>model/quality/000/00</t>
    </r>
  </si>
  <si>
    <r>
      <t xml:space="preserve">5.    The </t>
    </r>
    <r>
      <rPr>
        <sz val="8"/>
        <color theme="1"/>
        <rFont val="Courier New"/>
        <family val="3"/>
      </rPr>
      <t xml:space="preserve">sorting number </t>
    </r>
    <r>
      <rPr>
        <sz val="8"/>
        <color theme="1"/>
        <rFont val="Times New Roman"/>
        <family val="1"/>
      </rPr>
      <t>field indicates  the relative  position  of  the item  in the  sales  reports. The items  sold  must be grouped by  its  subfamily  and then  shown in the order  specified  by  this  field (see appendix E).</t>
    </r>
  </si>
  <si>
    <t>ערכים אפשריים</t>
  </si>
  <si>
    <t>E</t>
  </si>
  <si>
    <t>ORIGWH</t>
  </si>
  <si>
    <t>CHAR</t>
  </si>
  <si>
    <t>SEASON</t>
  </si>
  <si>
    <t>1 = Regular Season, 2 = Sales</t>
  </si>
  <si>
    <t>SECTION</t>
  </si>
  <si>
    <t>PRINTORDER</t>
  </si>
  <si>
    <t>HANGPACK</t>
  </si>
  <si>
    <t>BLOCKED</t>
  </si>
  <si>
    <t>DECORATION</t>
  </si>
  <si>
    <t>תליה/אריזה</t>
  </si>
  <si>
    <t>חסום למכירה</t>
  </si>
  <si>
    <t>פריט דקורציה</t>
  </si>
  <si>
    <t>C</t>
  </si>
  <si>
    <t>N</t>
  </si>
  <si>
    <t>00 = Not Blocked, 01 = Blocked</t>
  </si>
  <si>
    <t>AS400 warehouse: original warehouse</t>
  </si>
  <si>
    <t>HANG/PACKAGE: if it’s hanger or not</t>
  </si>
  <si>
    <t>BLOCKED UP REASON: 00 (not blocked), 01 (blocked)</t>
  </si>
  <si>
    <t xml:space="preserve">DECORATION ITEMS: If the item belongs to decoration </t>
  </si>
  <si>
    <t>In Zara Home the prices can be change in the same model/quality in color and size.</t>
  </si>
  <si>
    <t>File name remains ARTICUL.TER, inside the regular ZIP file.</t>
  </si>
  <si>
    <t>P = Package, C = Hang</t>
  </si>
  <si>
    <t>S = Decoration Item, N = Not Decoration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</si>
</sst>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charset val="177"/>
    </font>
    <font>
      <sz val="10"/>
      <color theme="1"/>
      <name val="Times New Roman"/>
      <family val="1"/>
    </font>
    <font>
      <sz val="8"/>
      <color theme="1"/>
      <name val="Times New Roman"/>
      <family val="1"/>
    </font>
    <font>
      <sz val="9"/>
      <color theme="1"/>
      <name val="Times New Roman"/>
      <family val="1"/>
    </font>
    <font>
      <sz val="6"/>
      <color theme="1"/>
      <name val="Times New Roman"/>
      <family val="1"/>
    </font>
    <font>
      <sz val="6"/>
      <color theme="1"/>
      <name val="Courier New"/>
      <family val="3"/>
    </font>
    <font>
      <sz val="8"/>
      <color theme="1"/>
      <name val="Courier New"/>
      <family val="3"/>
    </font>
    <font>
      <sz val="8.5"/>
      <color theme="1"/>
      <name val="Times New Roman"/>
      <family val="1"/>
    </font>
    <font>
      <b/>
      <sz val="11"/>
      <color indexed="8"/>
      <name val="Calibri"/>
      <family val="2"/>
    </font>
    <font>
      <b/>
      <sz val="11"/>
      <color theme="1"/>
      <name val="Calibri"/>
      <family val="2"/>
      <scheme val="minor"/>
    </font>
    <font>
      <sz val="11"/>
      <color rgb="FFFF0000"/>
      <name val="Calibri"/>
      <family val="2"/>
      <scheme val="minor"/>
    </font>
    <font>
      <sz val="10"/>
      <color rgb="FF1F497D"/>
      <name val="Gadug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medium">
        <color rgb="FFECE9D8"/>
      </left>
      <right style="medium">
        <color rgb="FFACA899"/>
      </right>
      <top style="medium">
        <color rgb="FFACA899"/>
      </top>
      <bottom style="medium">
        <color rgb="FFACA899"/>
      </bottom>
      <diagonal/>
    </border>
    <border>
      <left/>
      <right style="medium">
        <color rgb="FFACA899"/>
      </right>
      <top style="medium">
        <color rgb="FFACA899"/>
      </top>
      <bottom style="medium">
        <color rgb="FFACA899"/>
      </bottom>
      <diagonal/>
    </border>
    <border>
      <left style="medium">
        <color rgb="FFECE9D8"/>
      </left>
      <right style="medium">
        <color rgb="FFACA899"/>
      </right>
      <top/>
      <bottom style="medium">
        <color rgb="FFACA899"/>
      </bottom>
      <diagonal/>
    </border>
    <border>
      <left/>
      <right style="medium">
        <color rgb="FFACA899"/>
      </right>
      <top/>
      <bottom style="medium">
        <color rgb="FFACA899"/>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49" fontId="0" fillId="0" borderId="0" xfId="0" applyNumberFormat="1"/>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left" vertical="center" wrapText="1" indent="1"/>
    </xf>
    <xf numFmtId="0" fontId="3" fillId="0" borderId="0" xfId="0" applyFont="1" applyAlignment="1">
      <alignment horizontal="left" vertical="center" indent="6"/>
    </xf>
    <xf numFmtId="0" fontId="7" fillId="0" borderId="0" xfId="0" applyFont="1" applyAlignment="1">
      <alignment horizontal="left" vertical="center" indent="8"/>
    </xf>
    <xf numFmtId="0" fontId="3" fillId="0" borderId="0" xfId="0" applyFont="1" applyAlignment="1">
      <alignment horizontal="left" vertical="center"/>
    </xf>
    <xf numFmtId="0" fontId="0" fillId="0" borderId="0" xfId="0" applyAlignment="1">
      <alignment horizontal="left"/>
    </xf>
    <xf numFmtId="49" fontId="0" fillId="0" borderId="0" xfId="0" applyNumberFormat="1" applyAlignment="1">
      <alignment horizontal="left"/>
    </xf>
    <xf numFmtId="0" fontId="2" fillId="0" borderId="0" xfId="0" applyFont="1" applyAlignment="1">
      <alignment horizontal="left" vertical="center"/>
    </xf>
    <xf numFmtId="0" fontId="8" fillId="0" borderId="0" xfId="0" applyFont="1" applyAlignment="1">
      <alignment horizontal="left" vertical="center"/>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4" xfId="0" applyFont="1" applyBorder="1" applyAlignment="1">
      <alignment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4" xfId="0" applyFont="1" applyBorder="1" applyAlignment="1">
      <alignment horizontal="left" vertical="top" wrapText="1"/>
    </xf>
    <xf numFmtId="0" fontId="1" fillId="0" borderId="5" xfId="0" applyNumberFormat="1" applyFont="1" applyFill="1" applyBorder="1" applyAlignment="1" applyProtection="1"/>
    <xf numFmtId="49" fontId="1" fillId="0" borderId="5" xfId="0" applyNumberFormat="1" applyFont="1" applyFill="1" applyBorder="1" applyAlignment="1" applyProtection="1"/>
    <xf numFmtId="0" fontId="0" fillId="0" borderId="5" xfId="0" applyBorder="1"/>
    <xf numFmtId="49" fontId="0" fillId="0" borderId="5" xfId="0" applyNumberFormat="1" applyBorder="1"/>
    <xf numFmtId="0" fontId="9" fillId="0" borderId="5" xfId="0" applyNumberFormat="1" applyFont="1" applyFill="1" applyBorder="1" applyAlignment="1" applyProtection="1">
      <alignment horizontal="center"/>
    </xf>
    <xf numFmtId="49" fontId="9" fillId="0" borderId="5" xfId="0" applyNumberFormat="1" applyFont="1" applyFill="1" applyBorder="1" applyAlignment="1" applyProtection="1">
      <alignment horizontal="center"/>
    </xf>
    <xf numFmtId="0" fontId="10" fillId="0" borderId="5" xfId="0" applyFont="1" applyBorder="1" applyAlignment="1">
      <alignment horizontal="center"/>
    </xf>
    <xf numFmtId="0" fontId="1" fillId="2" borderId="5" xfId="0" applyNumberFormat="1" applyFont="1" applyFill="1" applyBorder="1" applyAlignment="1" applyProtection="1"/>
    <xf numFmtId="0" fontId="1" fillId="3" borderId="5" xfId="0" applyNumberFormat="1" applyFont="1" applyFill="1" applyBorder="1" applyAlignment="1" applyProtection="1"/>
    <xf numFmtId="0" fontId="11" fillId="0" borderId="0" xfId="0" applyFont="1" applyAlignment="1">
      <alignment vertical="center"/>
    </xf>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9"/>
  <sheetViews>
    <sheetView workbookViewId="0">
      <selection sqref="A1:I17"/>
    </sheetView>
  </sheetViews>
  <sheetFormatPr defaultRowHeight="15" x14ac:dyDescent="0.25"/>
  <cols>
    <col min="1" max="1" width="16.5703125" customWidth="1"/>
    <col min="7" max="7" width="18.42578125" customWidth="1"/>
    <col min="8" max="8" width="16.5703125" style="1" customWidth="1"/>
    <col min="9" max="9" width="45.28515625" customWidth="1"/>
  </cols>
  <sheetData>
    <row r="1" spans="1:9" x14ac:dyDescent="0.25">
      <c r="A1" s="27" t="str">
        <f>"משתנה"</f>
        <v>משתנה</v>
      </c>
      <c r="B1" s="27" t="str">
        <f>"טיפוס"</f>
        <v>טיפוס</v>
      </c>
      <c r="C1" s="27" t="s">
        <v>0</v>
      </c>
      <c r="D1" s="27" t="s">
        <v>1</v>
      </c>
      <c r="E1" s="27" t="s">
        <v>2</v>
      </c>
      <c r="F1" s="27" t="str">
        <f>"היפוך תווים?"</f>
        <v>היפוך תווים?</v>
      </c>
      <c r="G1" s="27" t="str">
        <f>"כותרת"</f>
        <v>כותרת</v>
      </c>
      <c r="H1" s="28" t="s">
        <v>3</v>
      </c>
      <c r="I1" s="29" t="s">
        <v>52</v>
      </c>
    </row>
    <row r="2" spans="1:9" x14ac:dyDescent="0.25">
      <c r="A2" s="23" t="str">
        <f>"VERSION"</f>
        <v>VERSION</v>
      </c>
      <c r="B2" s="23" t="str">
        <f t="shared" ref="B2:B16" si="0">"CHAR"</f>
        <v>CHAR</v>
      </c>
      <c r="C2" s="23">
        <v>1</v>
      </c>
      <c r="D2" s="23">
        <v>1</v>
      </c>
      <c r="E2" s="23">
        <v>1</v>
      </c>
      <c r="F2" s="23"/>
      <c r="G2" s="23" t="str">
        <f>"גירסה"</f>
        <v>גירסה</v>
      </c>
      <c r="H2" s="26" t="s">
        <v>4</v>
      </c>
      <c r="I2" s="25"/>
    </row>
    <row r="3" spans="1:9" x14ac:dyDescent="0.25">
      <c r="A3" s="23" t="str">
        <f>"CAMPYEAR"</f>
        <v>CAMPYEAR</v>
      </c>
      <c r="B3" s="23" t="str">
        <f t="shared" si="0"/>
        <v>CHAR</v>
      </c>
      <c r="C3" s="23">
        <v>2</v>
      </c>
      <c r="D3" s="23">
        <v>5</v>
      </c>
      <c r="E3" s="23">
        <v>4</v>
      </c>
      <c r="F3" s="23"/>
      <c r="G3" s="23" t="str">
        <f>"שנת קמפיין"</f>
        <v>שנת קמפיין</v>
      </c>
      <c r="H3" s="24">
        <v>2016</v>
      </c>
      <c r="I3" s="25"/>
    </row>
    <row r="4" spans="1:9" x14ac:dyDescent="0.25">
      <c r="A4" s="23" t="str">
        <f>"CAMPCODE"</f>
        <v>CAMPCODE</v>
      </c>
      <c r="B4" s="23" t="str">
        <f t="shared" si="0"/>
        <v>CHAR</v>
      </c>
      <c r="C4" s="23">
        <v>6</v>
      </c>
      <c r="D4" s="23">
        <v>6</v>
      </c>
      <c r="E4" s="23">
        <v>1</v>
      </c>
      <c r="F4" s="23"/>
      <c r="G4" s="23" t="str">
        <f>"קוד קמפיין"</f>
        <v>קוד קמפיין</v>
      </c>
      <c r="H4" s="26" t="s">
        <v>5</v>
      </c>
      <c r="I4" s="25" t="s">
        <v>17</v>
      </c>
    </row>
    <row r="5" spans="1:9" x14ac:dyDescent="0.25">
      <c r="A5" s="23" t="str">
        <f>"PRODTYPE"</f>
        <v>PRODTYPE</v>
      </c>
      <c r="B5" s="23" t="str">
        <f t="shared" si="0"/>
        <v>CHAR</v>
      </c>
      <c r="C5" s="23">
        <v>7</v>
      </c>
      <c r="D5" s="23">
        <v>7</v>
      </c>
      <c r="E5" s="23">
        <v>1</v>
      </c>
      <c r="F5" s="23"/>
      <c r="G5" s="23" t="str">
        <f>"סוג מוצר"</f>
        <v>סוג מוצר</v>
      </c>
      <c r="H5" s="24">
        <v>0</v>
      </c>
      <c r="I5" s="25" t="s">
        <v>20</v>
      </c>
    </row>
    <row r="6" spans="1:9" x14ac:dyDescent="0.25">
      <c r="A6" s="23" t="str">
        <f>"MODEL"</f>
        <v>MODEL</v>
      </c>
      <c r="B6" s="23" t="str">
        <f t="shared" si="0"/>
        <v>CHAR</v>
      </c>
      <c r="C6" s="23">
        <v>8</v>
      </c>
      <c r="D6" s="23">
        <v>11</v>
      </c>
      <c r="E6" s="23">
        <v>4</v>
      </c>
      <c r="F6" s="23"/>
      <c r="G6" s="23" t="str">
        <f>"מודל"</f>
        <v>מודל</v>
      </c>
      <c r="H6" s="24" t="s">
        <v>6</v>
      </c>
      <c r="I6" s="25"/>
    </row>
    <row r="7" spans="1:9" x14ac:dyDescent="0.25">
      <c r="A7" s="23" t="str">
        <f>"QUALITY"</f>
        <v>QUALITY</v>
      </c>
      <c r="B7" s="23" t="str">
        <f t="shared" si="0"/>
        <v>CHAR</v>
      </c>
      <c r="C7" s="23">
        <v>12</v>
      </c>
      <c r="D7" s="23">
        <v>14</v>
      </c>
      <c r="E7" s="23">
        <v>3</v>
      </c>
      <c r="F7" s="23"/>
      <c r="G7" s="23" t="str">
        <f>"איכות"</f>
        <v>איכות</v>
      </c>
      <c r="H7" s="26" t="s">
        <v>7</v>
      </c>
      <c r="I7" s="25"/>
    </row>
    <row r="8" spans="1:9" x14ac:dyDescent="0.25">
      <c r="A8" s="23" t="str">
        <f>"COLOR"</f>
        <v>COLOR</v>
      </c>
      <c r="B8" s="23" t="str">
        <f t="shared" si="0"/>
        <v>CHAR</v>
      </c>
      <c r="C8" s="23">
        <v>15</v>
      </c>
      <c r="D8" s="23">
        <v>17</v>
      </c>
      <c r="E8" s="23">
        <v>3</v>
      </c>
      <c r="F8" s="23"/>
      <c r="G8" s="23" t="str">
        <f>"צבע"</f>
        <v>צבע</v>
      </c>
      <c r="H8" s="26" t="s">
        <v>8</v>
      </c>
      <c r="I8" s="25"/>
    </row>
    <row r="9" spans="1:9" x14ac:dyDescent="0.25">
      <c r="A9" s="23" t="str">
        <f>"SIZE"</f>
        <v>SIZE</v>
      </c>
      <c r="B9" s="23" t="str">
        <f t="shared" si="0"/>
        <v>CHAR</v>
      </c>
      <c r="C9" s="23">
        <v>18</v>
      </c>
      <c r="D9" s="23">
        <v>19</v>
      </c>
      <c r="E9" s="23">
        <v>2</v>
      </c>
      <c r="F9" s="23"/>
      <c r="G9" s="23" t="str">
        <f>"מידה"</f>
        <v>מידה</v>
      </c>
      <c r="H9" s="26" t="s">
        <v>9</v>
      </c>
      <c r="I9" s="25"/>
    </row>
    <row r="10" spans="1:9" x14ac:dyDescent="0.25">
      <c r="A10" s="23" t="str">
        <f>"SEAPRICESTR"</f>
        <v>SEAPRICESTR</v>
      </c>
      <c r="B10" s="23" t="str">
        <f t="shared" si="0"/>
        <v>CHAR</v>
      </c>
      <c r="C10" s="23">
        <v>20</v>
      </c>
      <c r="D10" s="23">
        <v>30</v>
      </c>
      <c r="E10" s="23">
        <v>11</v>
      </c>
      <c r="F10" s="23"/>
      <c r="G10" s="23" t="str">
        <f>"מחיר בעונה מחרוזת"</f>
        <v>מחיר בעונה מחרוזת</v>
      </c>
      <c r="H10" s="26" t="s">
        <v>10</v>
      </c>
      <c r="I10" s="25"/>
    </row>
    <row r="11" spans="1:9" x14ac:dyDescent="0.25">
      <c r="A11" s="23" t="str">
        <f>"SALPRICESTR"</f>
        <v>SALPRICESTR</v>
      </c>
      <c r="B11" s="23" t="str">
        <f t="shared" si="0"/>
        <v>CHAR</v>
      </c>
      <c r="C11" s="23">
        <v>31</v>
      </c>
      <c r="D11" s="23">
        <v>41</v>
      </c>
      <c r="E11" s="23">
        <v>11</v>
      </c>
      <c r="F11" s="23"/>
      <c r="G11" s="23" t="str">
        <f>"מחיר מבצעים מחרוזת"</f>
        <v>מחיר מבצעים מחרוזת</v>
      </c>
      <c r="H11" s="26" t="s">
        <v>11</v>
      </c>
      <c r="I11" s="25"/>
    </row>
    <row r="12" spans="1:9" x14ac:dyDescent="0.25">
      <c r="A12" s="23" t="str">
        <f>"FAMILYCODE"</f>
        <v>FAMILYCODE</v>
      </c>
      <c r="B12" s="23" t="str">
        <f t="shared" si="0"/>
        <v>CHAR</v>
      </c>
      <c r="C12" s="23">
        <v>42</v>
      </c>
      <c r="D12" s="23">
        <v>43</v>
      </c>
      <c r="E12" s="23">
        <v>2</v>
      </c>
      <c r="F12" s="23"/>
      <c r="G12" s="23" t="str">
        <f>"קוד משפחה"</f>
        <v>קוד משפחה</v>
      </c>
      <c r="H12" s="26" t="s">
        <v>12</v>
      </c>
      <c r="I12" s="25"/>
    </row>
    <row r="13" spans="1:9" x14ac:dyDescent="0.25">
      <c r="A13" s="23" t="str">
        <f>"SUBFAMCODE"</f>
        <v>SUBFAMCODE</v>
      </c>
      <c r="B13" s="23" t="str">
        <f t="shared" si="0"/>
        <v>CHAR</v>
      </c>
      <c r="C13" s="23">
        <v>44</v>
      </c>
      <c r="D13" s="23">
        <v>46</v>
      </c>
      <c r="E13" s="23">
        <v>3</v>
      </c>
      <c r="F13" s="23"/>
      <c r="G13" s="23" t="str">
        <f>"קוד תת משפחה"</f>
        <v>קוד תת משפחה</v>
      </c>
      <c r="H13" s="26" t="s">
        <v>13</v>
      </c>
      <c r="I13" s="25"/>
    </row>
    <row r="14" spans="1:9" x14ac:dyDescent="0.25">
      <c r="A14" s="23" t="str">
        <f>"PERIODCODE"</f>
        <v>PERIODCODE</v>
      </c>
      <c r="B14" s="23" t="str">
        <f t="shared" si="0"/>
        <v>CHAR</v>
      </c>
      <c r="C14" s="23">
        <v>47</v>
      </c>
      <c r="D14" s="23">
        <v>47</v>
      </c>
      <c r="E14" s="23">
        <v>1</v>
      </c>
      <c r="F14" s="23"/>
      <c r="G14" s="23" t="str">
        <f>"קוד תקופה"</f>
        <v>קוד תקופה</v>
      </c>
      <c r="H14" s="26" t="s">
        <v>14</v>
      </c>
      <c r="I14" s="25" t="s">
        <v>18</v>
      </c>
    </row>
    <row r="15" spans="1:9" x14ac:dyDescent="0.25">
      <c r="A15" s="23" t="str">
        <f>"DEPTCODE"</f>
        <v>DEPTCODE</v>
      </c>
      <c r="B15" s="23" t="str">
        <f t="shared" si="0"/>
        <v>CHAR</v>
      </c>
      <c r="C15" s="23">
        <v>48</v>
      </c>
      <c r="D15" s="23">
        <v>48</v>
      </c>
      <c r="E15" s="23">
        <v>1</v>
      </c>
      <c r="F15" s="23"/>
      <c r="G15" s="23" t="str">
        <f>"קוד מחלקה"</f>
        <v>קוד מחלקה</v>
      </c>
      <c r="H15" s="26" t="s">
        <v>15</v>
      </c>
      <c r="I15" s="25" t="s">
        <v>19</v>
      </c>
    </row>
    <row r="16" spans="1:9" x14ac:dyDescent="0.25">
      <c r="A16" s="23" t="str">
        <f>"SORTNUM"</f>
        <v>SORTNUM</v>
      </c>
      <c r="B16" s="23" t="str">
        <f t="shared" si="0"/>
        <v>CHAR</v>
      </c>
      <c r="C16" s="23">
        <v>49</v>
      </c>
      <c r="D16" s="23">
        <v>52</v>
      </c>
      <c r="E16" s="23">
        <v>4</v>
      </c>
      <c r="F16" s="23"/>
      <c r="G16" s="23" t="str">
        <f>"קוד מיון"</f>
        <v>קוד מיון</v>
      </c>
      <c r="H16" s="26" t="s">
        <v>16</v>
      </c>
      <c r="I16" s="25"/>
    </row>
    <row r="20" spans="1:3" x14ac:dyDescent="0.25">
      <c r="A20" s="2" t="s">
        <v>21</v>
      </c>
    </row>
    <row r="21" spans="1:3" x14ac:dyDescent="0.25">
      <c r="A21" s="2" t="s">
        <v>22</v>
      </c>
    </row>
    <row r="22" spans="1:3" x14ac:dyDescent="0.25">
      <c r="A22" s="2" t="s">
        <v>23</v>
      </c>
    </row>
    <row r="23" spans="1:3" x14ac:dyDescent="0.25">
      <c r="A23" s="2" t="s">
        <v>24</v>
      </c>
    </row>
    <row r="24" spans="1:3" ht="15.75" thickBot="1" x14ac:dyDescent="0.3">
      <c r="A24" s="4"/>
    </row>
    <row r="25" spans="1:3" ht="15.75" thickBot="1" x14ac:dyDescent="0.3">
      <c r="A25" s="5" t="s">
        <v>25</v>
      </c>
      <c r="B25" s="6" t="s">
        <v>26</v>
      </c>
      <c r="C25" s="17" t="s">
        <v>27</v>
      </c>
    </row>
    <row r="26" spans="1:3" ht="20.25" thickBot="1" x14ac:dyDescent="0.3">
      <c r="A26" s="7">
        <v>1</v>
      </c>
      <c r="B26" s="8">
        <v>1</v>
      </c>
      <c r="C26" s="18" t="s">
        <v>28</v>
      </c>
    </row>
    <row r="27" spans="1:3" ht="23.25" thickBot="1" x14ac:dyDescent="0.3">
      <c r="A27" s="7">
        <v>2</v>
      </c>
      <c r="B27" s="8">
        <v>4</v>
      </c>
      <c r="C27" s="18" t="s">
        <v>29</v>
      </c>
    </row>
    <row r="28" spans="1:3" ht="28.5" thickBot="1" x14ac:dyDescent="0.3">
      <c r="A28" s="7">
        <v>6</v>
      </c>
      <c r="B28" s="8">
        <v>1</v>
      </c>
      <c r="C28" s="19" t="s">
        <v>30</v>
      </c>
    </row>
    <row r="29" spans="1:3" ht="56.25" thickBot="1" x14ac:dyDescent="0.3">
      <c r="A29" s="7">
        <v>7</v>
      </c>
      <c r="B29" s="8">
        <v>1</v>
      </c>
      <c r="C29" s="18" t="s">
        <v>31</v>
      </c>
    </row>
    <row r="30" spans="1:3" ht="15.75" thickBot="1" x14ac:dyDescent="0.3">
      <c r="A30" s="7">
        <v>8</v>
      </c>
      <c r="B30" s="8">
        <v>4</v>
      </c>
      <c r="C30" s="18" t="s">
        <v>32</v>
      </c>
    </row>
    <row r="31" spans="1:3" ht="15.75" thickBot="1" x14ac:dyDescent="0.3">
      <c r="A31" s="7">
        <v>12</v>
      </c>
      <c r="B31" s="8">
        <v>3</v>
      </c>
      <c r="C31" s="18" t="s">
        <v>33</v>
      </c>
    </row>
    <row r="32" spans="1:3" ht="15.75" thickBot="1" x14ac:dyDescent="0.3">
      <c r="A32" s="7">
        <v>15</v>
      </c>
      <c r="B32" s="8">
        <v>3</v>
      </c>
      <c r="C32" s="18" t="s">
        <v>34</v>
      </c>
    </row>
    <row r="33" spans="1:15" ht="15.75" thickBot="1" x14ac:dyDescent="0.3">
      <c r="A33" s="7">
        <v>18</v>
      </c>
      <c r="B33" s="8">
        <v>2</v>
      </c>
      <c r="C33" s="18" t="s">
        <v>26</v>
      </c>
    </row>
    <row r="34" spans="1:15" ht="15.75" thickBot="1" x14ac:dyDescent="0.3">
      <c r="A34" s="7">
        <v>20</v>
      </c>
      <c r="B34" s="9">
        <v>11</v>
      </c>
      <c r="C34" s="18" t="s">
        <v>35</v>
      </c>
    </row>
    <row r="35" spans="1:15" ht="15.75" thickBot="1" x14ac:dyDescent="0.3">
      <c r="A35" s="7">
        <v>31</v>
      </c>
      <c r="B35" s="9">
        <v>11</v>
      </c>
      <c r="C35" s="18" t="s">
        <v>36</v>
      </c>
    </row>
    <row r="36" spans="1:15" ht="15.75" thickBot="1" x14ac:dyDescent="0.3">
      <c r="A36" s="7">
        <v>42</v>
      </c>
      <c r="B36" s="8">
        <v>2</v>
      </c>
      <c r="C36" s="18" t="s">
        <v>37</v>
      </c>
    </row>
    <row r="37" spans="1:15" ht="23.25" thickBot="1" x14ac:dyDescent="0.3">
      <c r="A37" s="7">
        <v>44</v>
      </c>
      <c r="B37" s="8">
        <v>3</v>
      </c>
      <c r="C37" s="18" t="s">
        <v>38</v>
      </c>
    </row>
    <row r="38" spans="1:15" ht="28.5" thickBot="1" x14ac:dyDescent="0.3">
      <c r="A38" s="20">
        <v>47</v>
      </c>
      <c r="B38" s="21">
        <v>1</v>
      </c>
      <c r="C38" s="22" t="s">
        <v>39</v>
      </c>
    </row>
    <row r="39" spans="1:15" ht="36.75" thickBot="1" x14ac:dyDescent="0.3">
      <c r="A39" s="20">
        <v>48</v>
      </c>
      <c r="B39" s="21">
        <v>1</v>
      </c>
      <c r="C39" s="22" t="s">
        <v>40</v>
      </c>
    </row>
    <row r="40" spans="1:15" ht="23.25" thickBot="1" x14ac:dyDescent="0.3">
      <c r="A40" s="20">
        <v>49</v>
      </c>
      <c r="B40" s="21">
        <v>4</v>
      </c>
      <c r="C40" s="22" t="s">
        <v>41</v>
      </c>
    </row>
    <row r="41" spans="1:15" x14ac:dyDescent="0.25">
      <c r="A41" s="3"/>
    </row>
    <row r="42" spans="1:15" x14ac:dyDescent="0.25">
      <c r="A42" s="12" t="s">
        <v>42</v>
      </c>
      <c r="B42" s="13"/>
      <c r="C42" s="13"/>
      <c r="D42" s="13"/>
      <c r="E42" s="13"/>
      <c r="F42" s="13"/>
      <c r="G42" s="13"/>
      <c r="H42" s="14"/>
      <c r="I42" s="13"/>
      <c r="J42" s="13"/>
      <c r="K42" s="13"/>
      <c r="L42" s="13"/>
      <c r="M42" s="13"/>
      <c r="N42" s="13"/>
    </row>
    <row r="43" spans="1:15" x14ac:dyDescent="0.25">
      <c r="A43" s="3"/>
    </row>
    <row r="44" spans="1:15" x14ac:dyDescent="0.25">
      <c r="A44" s="12" t="s">
        <v>43</v>
      </c>
    </row>
    <row r="45" spans="1:15" x14ac:dyDescent="0.25">
      <c r="A45" s="12" t="s">
        <v>44</v>
      </c>
    </row>
    <row r="46" spans="1:15" x14ac:dyDescent="0.25">
      <c r="A46" s="12" t="s">
        <v>45</v>
      </c>
      <c r="B46" s="13"/>
      <c r="C46" s="13"/>
      <c r="D46" s="13"/>
      <c r="E46" s="13"/>
      <c r="F46" s="13"/>
      <c r="G46" s="13"/>
      <c r="H46" s="14"/>
      <c r="I46" s="13"/>
      <c r="J46" s="13"/>
      <c r="K46" s="13"/>
      <c r="L46" s="13"/>
      <c r="M46" s="13"/>
      <c r="N46" s="13"/>
      <c r="O46" s="13"/>
    </row>
    <row r="47" spans="1:15" x14ac:dyDescent="0.25">
      <c r="A47" s="12" t="s">
        <v>46</v>
      </c>
      <c r="B47" s="13"/>
      <c r="C47" s="13"/>
      <c r="D47" s="13"/>
      <c r="E47" s="13"/>
      <c r="F47" s="13"/>
      <c r="G47" s="13"/>
      <c r="H47" s="14"/>
      <c r="I47" s="13"/>
      <c r="J47" s="13"/>
      <c r="K47" s="13"/>
      <c r="L47" s="13"/>
      <c r="M47" s="13"/>
      <c r="N47" s="13"/>
      <c r="O47" s="13"/>
    </row>
    <row r="48" spans="1:15" x14ac:dyDescent="0.25">
      <c r="A48" s="12" t="s">
        <v>47</v>
      </c>
      <c r="B48" s="13"/>
      <c r="C48" s="13"/>
      <c r="D48" s="13"/>
      <c r="E48" s="13"/>
      <c r="F48" s="13"/>
      <c r="G48" s="13"/>
      <c r="H48" s="14"/>
      <c r="I48" s="13"/>
      <c r="J48" s="13"/>
      <c r="K48" s="13"/>
      <c r="L48" s="13"/>
      <c r="M48" s="13"/>
      <c r="N48" s="13"/>
      <c r="O48" s="13"/>
    </row>
    <row r="49" spans="1:15" x14ac:dyDescent="0.25">
      <c r="A49" s="10" t="s">
        <v>48</v>
      </c>
      <c r="B49" s="13"/>
      <c r="C49" s="13"/>
      <c r="D49" s="13"/>
      <c r="E49" s="13"/>
      <c r="F49" s="13"/>
      <c r="G49" s="13"/>
      <c r="H49" s="14"/>
      <c r="I49" s="13"/>
      <c r="J49" s="13"/>
      <c r="K49" s="13"/>
      <c r="L49" s="13"/>
      <c r="M49" s="13"/>
      <c r="N49" s="13"/>
      <c r="O49" s="13"/>
    </row>
    <row r="50" spans="1:15" x14ac:dyDescent="0.25">
      <c r="A50" s="11" t="s">
        <v>49</v>
      </c>
      <c r="B50" s="13"/>
      <c r="C50" s="13"/>
      <c r="D50" s="13"/>
      <c r="E50" s="13"/>
      <c r="F50" s="13"/>
      <c r="G50" s="13"/>
      <c r="H50" s="14"/>
      <c r="I50" s="13"/>
      <c r="J50" s="13"/>
      <c r="K50" s="13"/>
      <c r="L50" s="13"/>
      <c r="M50" s="13"/>
      <c r="N50" s="13"/>
      <c r="O50" s="13"/>
    </row>
    <row r="51" spans="1:15" x14ac:dyDescent="0.25">
      <c r="A51" s="11" t="s">
        <v>50</v>
      </c>
      <c r="B51" s="13"/>
      <c r="C51" s="13"/>
      <c r="D51" s="13"/>
      <c r="E51" s="13"/>
      <c r="F51" s="13"/>
      <c r="G51" s="13"/>
      <c r="H51" s="14"/>
      <c r="I51" s="13"/>
      <c r="J51" s="13"/>
      <c r="K51" s="13"/>
      <c r="L51" s="13"/>
      <c r="M51" s="13"/>
      <c r="N51" s="13"/>
      <c r="O51" s="13"/>
    </row>
    <row r="52" spans="1:15" x14ac:dyDescent="0.25">
      <c r="A52" s="12" t="s">
        <v>51</v>
      </c>
      <c r="B52" s="13"/>
      <c r="C52" s="13"/>
      <c r="D52" s="13"/>
      <c r="E52" s="13"/>
      <c r="F52" s="13"/>
      <c r="G52" s="13"/>
      <c r="H52" s="14"/>
      <c r="I52" s="13"/>
      <c r="J52" s="13"/>
      <c r="K52" s="13"/>
      <c r="L52" s="13"/>
      <c r="M52" s="13"/>
      <c r="N52" s="13"/>
      <c r="O52" s="13"/>
    </row>
    <row r="53" spans="1:15" x14ac:dyDescent="0.25">
      <c r="A53" s="16"/>
      <c r="B53" s="13"/>
      <c r="C53" s="13"/>
      <c r="D53" s="13"/>
      <c r="E53" s="13"/>
      <c r="F53" s="13"/>
      <c r="G53" s="13"/>
      <c r="H53" s="14"/>
      <c r="I53" s="13"/>
      <c r="J53" s="13"/>
      <c r="K53" s="13"/>
      <c r="L53" s="13"/>
      <c r="M53" s="13"/>
      <c r="N53" s="13"/>
      <c r="O53" s="13"/>
    </row>
    <row r="54" spans="1:15" x14ac:dyDescent="0.25">
      <c r="A54" s="15"/>
      <c r="B54" s="13"/>
      <c r="C54" s="13"/>
      <c r="D54" s="13"/>
      <c r="E54" s="13"/>
      <c r="F54" s="13"/>
      <c r="G54" s="13"/>
      <c r="H54" s="14"/>
      <c r="I54" s="13"/>
      <c r="J54" s="13"/>
      <c r="K54" s="13"/>
      <c r="L54" s="13"/>
      <c r="M54" s="13"/>
      <c r="N54" s="13"/>
      <c r="O54" s="13"/>
    </row>
    <row r="55" spans="1:15" x14ac:dyDescent="0.25">
      <c r="A55" s="13"/>
      <c r="B55" s="13"/>
      <c r="C55" s="13"/>
      <c r="D55" s="13"/>
      <c r="E55" s="13"/>
      <c r="F55" s="13"/>
      <c r="G55" s="13"/>
      <c r="H55" s="14"/>
      <c r="I55" s="13"/>
      <c r="J55" s="13"/>
      <c r="K55" s="13"/>
      <c r="L55" s="13"/>
      <c r="M55" s="13"/>
      <c r="N55" s="13"/>
      <c r="O55" s="13"/>
    </row>
    <row r="56" spans="1:15" x14ac:dyDescent="0.25">
      <c r="A56" s="13"/>
      <c r="B56" s="13"/>
      <c r="C56" s="13"/>
      <c r="D56" s="13"/>
      <c r="E56" s="13"/>
      <c r="F56" s="13"/>
      <c r="G56" s="13"/>
      <c r="H56" s="14"/>
      <c r="I56" s="13"/>
      <c r="J56" s="13"/>
      <c r="K56" s="13"/>
      <c r="L56" s="13"/>
      <c r="M56" s="13"/>
      <c r="N56" s="13"/>
      <c r="O56" s="13"/>
    </row>
    <row r="57" spans="1:15" x14ac:dyDescent="0.25">
      <c r="A57" s="13"/>
      <c r="B57" s="13"/>
      <c r="C57" s="13"/>
      <c r="D57" s="13"/>
      <c r="E57" s="13"/>
      <c r="F57" s="13"/>
      <c r="G57" s="13"/>
      <c r="H57" s="14"/>
      <c r="I57" s="13"/>
      <c r="J57" s="13"/>
      <c r="K57" s="13"/>
      <c r="L57" s="13"/>
      <c r="M57" s="13"/>
      <c r="N57" s="13"/>
      <c r="O57" s="13"/>
    </row>
    <row r="58" spans="1:15" x14ac:dyDescent="0.25">
      <c r="A58" s="13"/>
      <c r="B58" s="13"/>
      <c r="C58" s="13"/>
      <c r="D58" s="13"/>
      <c r="E58" s="13"/>
      <c r="F58" s="13"/>
      <c r="G58" s="13"/>
      <c r="H58" s="14"/>
      <c r="I58" s="13"/>
      <c r="J58" s="13"/>
      <c r="K58" s="13"/>
      <c r="L58" s="13"/>
      <c r="M58" s="13"/>
      <c r="N58" s="13"/>
      <c r="O58" s="13"/>
    </row>
    <row r="59" spans="1:15" x14ac:dyDescent="0.25">
      <c r="A59" s="13"/>
      <c r="B59" s="13"/>
      <c r="C59" s="13"/>
      <c r="D59" s="13"/>
      <c r="E59" s="13"/>
      <c r="F59" s="13"/>
      <c r="G59" s="13"/>
      <c r="H59" s="14"/>
      <c r="I59" s="13"/>
      <c r="J59" s="13"/>
      <c r="K59" s="13"/>
      <c r="L59" s="13"/>
      <c r="M59" s="13"/>
      <c r="N59" s="13"/>
      <c r="O59" s="1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abSelected="1" workbookViewId="0">
      <selection activeCell="H31" sqref="H31"/>
    </sheetView>
  </sheetViews>
  <sheetFormatPr defaultRowHeight="15" x14ac:dyDescent="0.25"/>
  <cols>
    <col min="1" max="1" width="14.7109375" customWidth="1"/>
    <col min="6" max="6" width="11.28515625" bestFit="1" customWidth="1"/>
    <col min="7" max="7" width="18.140625" bestFit="1" customWidth="1"/>
    <col min="8" max="8" width="12" style="1" bestFit="1" customWidth="1"/>
    <col min="9" max="9" width="42.42578125" bestFit="1" customWidth="1"/>
  </cols>
  <sheetData>
    <row r="1" spans="1:9" x14ac:dyDescent="0.25">
      <c r="A1" s="27" t="str">
        <f>"משתנה"</f>
        <v>משתנה</v>
      </c>
      <c r="B1" s="27" t="str">
        <f>"טיפוס"</f>
        <v>טיפוס</v>
      </c>
      <c r="C1" s="27" t="s">
        <v>0</v>
      </c>
      <c r="D1" s="27" t="s">
        <v>1</v>
      </c>
      <c r="E1" s="27" t="s">
        <v>2</v>
      </c>
      <c r="F1" s="27" t="str">
        <f>"היפוך תווים?"</f>
        <v>היפוך תווים?</v>
      </c>
      <c r="G1" s="27" t="str">
        <f>"כותרת"</f>
        <v>כותרת</v>
      </c>
      <c r="H1" s="28" t="s">
        <v>3</v>
      </c>
      <c r="I1" s="29" t="s">
        <v>52</v>
      </c>
    </row>
    <row r="2" spans="1:9" x14ac:dyDescent="0.25">
      <c r="A2" s="23" t="str">
        <f>"VERSION"</f>
        <v>VERSION</v>
      </c>
      <c r="B2" s="23" t="str">
        <f>"CHAR"</f>
        <v>CHAR</v>
      </c>
      <c r="C2" s="23">
        <v>1</v>
      </c>
      <c r="D2" s="23">
        <f>C2+E2-1</f>
        <v>1</v>
      </c>
      <c r="E2" s="23">
        <v>1</v>
      </c>
      <c r="F2" s="23"/>
      <c r="G2" s="23" t="str">
        <f>"גירסה"</f>
        <v>גירסה</v>
      </c>
      <c r="H2" s="26" t="s">
        <v>53</v>
      </c>
      <c r="I2" s="25"/>
    </row>
    <row r="3" spans="1:9" x14ac:dyDescent="0.25">
      <c r="A3" s="23" t="s">
        <v>54</v>
      </c>
      <c r="B3" s="23" t="s">
        <v>55</v>
      </c>
      <c r="C3" s="23">
        <f>D2+1</f>
        <v>2</v>
      </c>
      <c r="D3" s="23">
        <f t="shared" ref="D3:D20" si="0">C3+E3-1</f>
        <v>3</v>
      </c>
      <c r="E3" s="23">
        <v>2</v>
      </c>
      <c r="F3" s="23"/>
      <c r="G3" s="23"/>
      <c r="H3" s="26"/>
      <c r="I3" s="25"/>
    </row>
    <row r="4" spans="1:9" x14ac:dyDescent="0.25">
      <c r="A4" s="23" t="str">
        <f>"CAMPYEAR"</f>
        <v>CAMPYEAR</v>
      </c>
      <c r="B4" s="23" t="str">
        <f t="shared" ref="B4:B17" si="1">"CHAR"</f>
        <v>CHAR</v>
      </c>
      <c r="C4" s="23">
        <f t="shared" ref="C4:C20" si="2">D3+1</f>
        <v>4</v>
      </c>
      <c r="D4" s="23">
        <f t="shared" si="0"/>
        <v>7</v>
      </c>
      <c r="E4" s="23">
        <v>4</v>
      </c>
      <c r="F4" s="23"/>
      <c r="G4" s="23" t="str">
        <f>"שנת קמפיין"</f>
        <v>שנת קמפיין</v>
      </c>
      <c r="H4" s="24">
        <v>2016</v>
      </c>
      <c r="I4" s="25"/>
    </row>
    <row r="5" spans="1:9" x14ac:dyDescent="0.25">
      <c r="A5" s="23" t="str">
        <f>"CAMPCODE"</f>
        <v>CAMPCODE</v>
      </c>
      <c r="B5" s="23" t="str">
        <f t="shared" si="1"/>
        <v>CHAR</v>
      </c>
      <c r="C5" s="23">
        <f t="shared" si="2"/>
        <v>8</v>
      </c>
      <c r="D5" s="23">
        <f t="shared" si="0"/>
        <v>8</v>
      </c>
      <c r="E5" s="23">
        <v>1</v>
      </c>
      <c r="F5" s="23"/>
      <c r="G5" s="23" t="str">
        <f>"קוד קמפיין"</f>
        <v>קוד קמפיין</v>
      </c>
      <c r="H5" s="26" t="s">
        <v>5</v>
      </c>
      <c r="I5" s="25" t="s">
        <v>17</v>
      </c>
    </row>
    <row r="6" spans="1:9" x14ac:dyDescent="0.25">
      <c r="A6" s="23" t="str">
        <f>"PRODTYPE"</f>
        <v>PRODTYPE</v>
      </c>
      <c r="B6" s="23" t="str">
        <f t="shared" si="1"/>
        <v>CHAR</v>
      </c>
      <c r="C6" s="23">
        <f t="shared" si="2"/>
        <v>9</v>
      </c>
      <c r="D6" s="23">
        <f t="shared" si="0"/>
        <v>9</v>
      </c>
      <c r="E6" s="23">
        <v>1</v>
      </c>
      <c r="F6" s="23"/>
      <c r="G6" s="23" t="str">
        <f>"סוג מוצר"</f>
        <v>סוג מוצר</v>
      </c>
      <c r="H6" s="24">
        <v>0</v>
      </c>
      <c r="I6" s="25" t="s">
        <v>20</v>
      </c>
    </row>
    <row r="7" spans="1:9" x14ac:dyDescent="0.25">
      <c r="A7" s="23" t="str">
        <f>"MODEL"</f>
        <v>MODEL</v>
      </c>
      <c r="B7" s="23" t="str">
        <f t="shared" si="1"/>
        <v>CHAR</v>
      </c>
      <c r="C7" s="23">
        <f t="shared" si="2"/>
        <v>10</v>
      </c>
      <c r="D7" s="23">
        <f t="shared" si="0"/>
        <v>13</v>
      </c>
      <c r="E7" s="23">
        <v>4</v>
      </c>
      <c r="F7" s="23"/>
      <c r="G7" s="23" t="str">
        <f>"מודל"</f>
        <v>מודל</v>
      </c>
      <c r="H7" s="24" t="s">
        <v>6</v>
      </c>
      <c r="I7" s="25"/>
    </row>
    <row r="8" spans="1:9" x14ac:dyDescent="0.25">
      <c r="A8" s="23" t="str">
        <f>"QUALITY"</f>
        <v>QUALITY</v>
      </c>
      <c r="B8" s="23" t="str">
        <f t="shared" si="1"/>
        <v>CHAR</v>
      </c>
      <c r="C8" s="23">
        <f t="shared" si="2"/>
        <v>14</v>
      </c>
      <c r="D8" s="23">
        <f t="shared" si="0"/>
        <v>16</v>
      </c>
      <c r="E8" s="23">
        <v>3</v>
      </c>
      <c r="F8" s="23"/>
      <c r="G8" s="23" t="str">
        <f>"איכות"</f>
        <v>איכות</v>
      </c>
      <c r="H8" s="26" t="s">
        <v>7</v>
      </c>
      <c r="I8" s="25"/>
    </row>
    <row r="9" spans="1:9" x14ac:dyDescent="0.25">
      <c r="A9" s="23" t="str">
        <f>"COLOR"</f>
        <v>COLOR</v>
      </c>
      <c r="B9" s="23" t="str">
        <f t="shared" si="1"/>
        <v>CHAR</v>
      </c>
      <c r="C9" s="23">
        <f t="shared" si="2"/>
        <v>17</v>
      </c>
      <c r="D9" s="23">
        <f t="shared" si="0"/>
        <v>19</v>
      </c>
      <c r="E9" s="23">
        <v>3</v>
      </c>
      <c r="F9" s="23"/>
      <c r="G9" s="23" t="str">
        <f>"צבע"</f>
        <v>צבע</v>
      </c>
      <c r="H9" s="26" t="s">
        <v>8</v>
      </c>
      <c r="I9" s="25"/>
    </row>
    <row r="10" spans="1:9" x14ac:dyDescent="0.25">
      <c r="A10" s="23" t="str">
        <f>"SIZE"</f>
        <v>SIZE</v>
      </c>
      <c r="B10" s="23" t="str">
        <f t="shared" si="1"/>
        <v>CHAR</v>
      </c>
      <c r="C10" s="23">
        <f t="shared" si="2"/>
        <v>20</v>
      </c>
      <c r="D10" s="23">
        <f t="shared" si="0"/>
        <v>21</v>
      </c>
      <c r="E10" s="23">
        <v>2</v>
      </c>
      <c r="F10" s="23"/>
      <c r="G10" s="23" t="str">
        <f>"מידה"</f>
        <v>מידה</v>
      </c>
      <c r="H10" s="26" t="s">
        <v>9</v>
      </c>
      <c r="I10" s="25"/>
    </row>
    <row r="11" spans="1:9" x14ac:dyDescent="0.25">
      <c r="A11" s="23" t="str">
        <f>"SEAPRICESTR"</f>
        <v>SEAPRICESTR</v>
      </c>
      <c r="B11" s="23" t="str">
        <f t="shared" si="1"/>
        <v>CHAR</v>
      </c>
      <c r="C11" s="23">
        <f t="shared" si="2"/>
        <v>22</v>
      </c>
      <c r="D11" s="23">
        <f t="shared" si="0"/>
        <v>32</v>
      </c>
      <c r="E11" s="23">
        <v>11</v>
      </c>
      <c r="F11" s="23"/>
      <c r="G11" s="23" t="str">
        <f>"מחיר בעונה מחרוזת"</f>
        <v>מחיר בעונה מחרוזת</v>
      </c>
      <c r="H11" s="26" t="s">
        <v>10</v>
      </c>
      <c r="I11" s="25"/>
    </row>
    <row r="12" spans="1:9" x14ac:dyDescent="0.25">
      <c r="A12" s="23" t="str">
        <f>"SALPRICESTR"</f>
        <v>SALPRICESTR</v>
      </c>
      <c r="B12" s="23" t="str">
        <f t="shared" si="1"/>
        <v>CHAR</v>
      </c>
      <c r="C12" s="23">
        <f t="shared" si="2"/>
        <v>33</v>
      </c>
      <c r="D12" s="23">
        <f t="shared" si="0"/>
        <v>43</v>
      </c>
      <c r="E12" s="23">
        <v>11</v>
      </c>
      <c r="F12" s="23"/>
      <c r="G12" s="23" t="str">
        <f>"מחיר מבצעים מחרוזת"</f>
        <v>מחיר מבצעים מחרוזת</v>
      </c>
      <c r="H12" s="26" t="s">
        <v>11</v>
      </c>
      <c r="I12" s="25"/>
    </row>
    <row r="13" spans="1:9" x14ac:dyDescent="0.25">
      <c r="A13" s="23" t="str">
        <f>"FAMILYCODE"</f>
        <v>FAMILYCODE</v>
      </c>
      <c r="B13" s="23" t="str">
        <f t="shared" si="1"/>
        <v>CHAR</v>
      </c>
      <c r="C13" s="23">
        <f t="shared" si="2"/>
        <v>44</v>
      </c>
      <c r="D13" s="23">
        <f t="shared" si="0"/>
        <v>45</v>
      </c>
      <c r="E13" s="23">
        <v>2</v>
      </c>
      <c r="F13" s="23"/>
      <c r="G13" s="23" t="str">
        <f>"קוד משפחה"</f>
        <v>קוד משפחה</v>
      </c>
      <c r="H13" s="26" t="s">
        <v>12</v>
      </c>
      <c r="I13" s="25"/>
    </row>
    <row r="14" spans="1:9" x14ac:dyDescent="0.25">
      <c r="A14" s="23" t="str">
        <f>"SUBFAMCODE"</f>
        <v>SUBFAMCODE</v>
      </c>
      <c r="B14" s="23" t="str">
        <f t="shared" si="1"/>
        <v>CHAR</v>
      </c>
      <c r="C14" s="23">
        <f t="shared" si="2"/>
        <v>46</v>
      </c>
      <c r="D14" s="23">
        <f t="shared" si="0"/>
        <v>48</v>
      </c>
      <c r="E14" s="23">
        <v>3</v>
      </c>
      <c r="F14" s="23"/>
      <c r="G14" s="23" t="str">
        <f>"קוד תת משפחה"</f>
        <v>קוד תת משפחה</v>
      </c>
      <c r="H14" s="26" t="s">
        <v>13</v>
      </c>
      <c r="I14" s="25"/>
    </row>
    <row r="15" spans="1:9" x14ac:dyDescent="0.25">
      <c r="A15" s="30" t="s">
        <v>56</v>
      </c>
      <c r="B15" s="23" t="str">
        <f t="shared" si="1"/>
        <v>CHAR</v>
      </c>
      <c r="C15" s="23">
        <f t="shared" si="2"/>
        <v>49</v>
      </c>
      <c r="D15" s="23">
        <f t="shared" si="0"/>
        <v>49</v>
      </c>
      <c r="E15" s="23">
        <v>1</v>
      </c>
      <c r="F15" s="23"/>
      <c r="G15" s="23" t="str">
        <f>"קוד תקופה"</f>
        <v>קוד תקופה</v>
      </c>
      <c r="H15" s="26" t="s">
        <v>15</v>
      </c>
      <c r="I15" s="25" t="s">
        <v>57</v>
      </c>
    </row>
    <row r="16" spans="1:9" x14ac:dyDescent="0.25">
      <c r="A16" s="31" t="s">
        <v>58</v>
      </c>
      <c r="B16" s="23" t="str">
        <f t="shared" si="1"/>
        <v>CHAR</v>
      </c>
      <c r="C16" s="23">
        <f t="shared" si="2"/>
        <v>50</v>
      </c>
      <c r="D16" s="23">
        <f t="shared" si="0"/>
        <v>50</v>
      </c>
      <c r="E16" s="23">
        <v>1</v>
      </c>
      <c r="F16" s="23"/>
      <c r="G16" s="23" t="str">
        <f>"קוד מחלקה"</f>
        <v>קוד מחלקה</v>
      </c>
      <c r="H16" s="26" t="s">
        <v>15</v>
      </c>
      <c r="I16" s="25" t="s">
        <v>19</v>
      </c>
    </row>
    <row r="17" spans="1:9" x14ac:dyDescent="0.25">
      <c r="A17" s="31" t="s">
        <v>59</v>
      </c>
      <c r="B17" s="23" t="str">
        <f t="shared" si="1"/>
        <v>CHAR</v>
      </c>
      <c r="C17" s="23">
        <f t="shared" si="2"/>
        <v>51</v>
      </c>
      <c r="D17" s="23">
        <f t="shared" si="0"/>
        <v>54</v>
      </c>
      <c r="E17" s="23">
        <v>4</v>
      </c>
      <c r="F17" s="23"/>
      <c r="G17" s="23" t="str">
        <f>"קוד מיון"</f>
        <v>קוד מיון</v>
      </c>
      <c r="H17" s="26" t="s">
        <v>16</v>
      </c>
      <c r="I17" s="25"/>
    </row>
    <row r="18" spans="1:9" x14ac:dyDescent="0.25">
      <c r="A18" s="31" t="s">
        <v>60</v>
      </c>
      <c r="B18" s="23" t="s">
        <v>55</v>
      </c>
      <c r="C18" s="23">
        <f t="shared" si="2"/>
        <v>55</v>
      </c>
      <c r="D18" s="23">
        <f t="shared" si="0"/>
        <v>55</v>
      </c>
      <c r="E18" s="23">
        <v>1</v>
      </c>
      <c r="F18" s="23"/>
      <c r="G18" s="23" t="s">
        <v>63</v>
      </c>
      <c r="H18" s="26" t="s">
        <v>66</v>
      </c>
      <c r="I18" s="25" t="s">
        <v>75</v>
      </c>
    </row>
    <row r="19" spans="1:9" x14ac:dyDescent="0.25">
      <c r="A19" s="31" t="s">
        <v>61</v>
      </c>
      <c r="B19" s="23" t="s">
        <v>55</v>
      </c>
      <c r="C19" s="23">
        <f t="shared" si="2"/>
        <v>56</v>
      </c>
      <c r="D19" s="23">
        <f t="shared" si="0"/>
        <v>57</v>
      </c>
      <c r="E19" s="23">
        <v>2</v>
      </c>
      <c r="F19" s="23"/>
      <c r="G19" s="23" t="s">
        <v>64</v>
      </c>
      <c r="H19" s="26" t="s">
        <v>9</v>
      </c>
      <c r="I19" s="25" t="s">
        <v>68</v>
      </c>
    </row>
    <row r="20" spans="1:9" x14ac:dyDescent="0.25">
      <c r="A20" s="31" t="s">
        <v>62</v>
      </c>
      <c r="B20" s="23" t="s">
        <v>55</v>
      </c>
      <c r="C20" s="23">
        <f t="shared" si="2"/>
        <v>58</v>
      </c>
      <c r="D20" s="23">
        <f t="shared" si="0"/>
        <v>58</v>
      </c>
      <c r="E20" s="23">
        <v>1</v>
      </c>
      <c r="F20" s="23"/>
      <c r="G20" s="23" t="s">
        <v>65</v>
      </c>
      <c r="H20" s="26" t="s">
        <v>67</v>
      </c>
      <c r="I20" s="25" t="s">
        <v>76</v>
      </c>
    </row>
    <row r="22" spans="1:9" x14ac:dyDescent="0.25">
      <c r="A22" s="32" t="s">
        <v>69</v>
      </c>
    </row>
    <row r="23" spans="1:9" x14ac:dyDescent="0.25">
      <c r="A23" s="32" t="s">
        <v>70</v>
      </c>
    </row>
    <row r="24" spans="1:9" x14ac:dyDescent="0.25">
      <c r="A24" s="32" t="s">
        <v>71</v>
      </c>
    </row>
    <row r="25" spans="1:9" x14ac:dyDescent="0.25">
      <c r="A25" s="32" t="s">
        <v>72</v>
      </c>
    </row>
    <row r="27" spans="1:9" x14ac:dyDescent="0.25">
      <c r="A27" s="33" t="s">
        <v>73</v>
      </c>
    </row>
    <row r="29" spans="1:9" x14ac:dyDescent="0.25">
      <c r="A2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Version B</vt:lpstr>
      <vt:lpstr>VERSION 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2017-01-16T11:42:21Z</dcterms:modified>
</cp:coreProperties>
</file>